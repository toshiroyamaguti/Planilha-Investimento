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OneDrive\Área de Trabalho\"/>
    </mc:Choice>
  </mc:AlternateContent>
  <xr:revisionPtr revIDLastSave="0" documentId="13_ncr:1_{19D38E90-F383-4826-91CE-D8EDA0973FBC}" xr6:coauthVersionLast="47" xr6:coauthVersionMax="47" xr10:uidLastSave="{00000000-0000-0000-0000-000000000000}"/>
  <bookViews>
    <workbookView xWindow="19090" yWindow="-110" windowWidth="19420" windowHeight="10300" tabRatio="0" xr2:uid="{BD0DBAD7-FA63-40DE-AEF6-51559FCC18E5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Planilha1!$D$12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H10" i="2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A5" i="2"/>
  <c r="A6" i="2"/>
  <c r="A7" i="2"/>
  <c r="A8" i="2"/>
  <c r="A3" i="2"/>
  <c r="C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4" i="1" l="1"/>
  <c r="D35" i="1"/>
  <c r="D39" i="1"/>
  <c r="D38" i="1"/>
  <c r="D36" i="1"/>
  <c r="D37" i="1"/>
  <c r="D40" i="1" l="1"/>
</calcChain>
</file>

<file path=xl/sharedStrings.xml><?xml version="1.0" encoding="utf-8"?>
<sst xmlns="http://schemas.openxmlformats.org/spreadsheetml/2006/main" count="70" uniqueCount="34">
  <si>
    <t>INVESTIMENTO MENSAL</t>
  </si>
  <si>
    <t>Patrimônio acumulado</t>
  </si>
  <si>
    <t>Dividendos mensais</t>
  </si>
  <si>
    <t>Taxa de rendimento mensal</t>
  </si>
  <si>
    <t>Quanto investir por mês</t>
  </si>
  <si>
    <t>Por quantos anos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</si>
  <si>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</si>
  <si>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</si>
  <si>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</si>
  <si>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</si>
  <si>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</si>
  <si>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</si>
  <si>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</si>
  <si>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</si>
  <si>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CONFIGURAÇÕES</t>
  </si>
  <si>
    <t>Agressivo</t>
  </si>
  <si>
    <t>VALOR A SER INVESTIDO POR MÊS</t>
  </si>
  <si>
    <t>PERFIL</t>
  </si>
  <si>
    <t>TIPO DE FII</t>
  </si>
  <si>
    <t>PAPEL</t>
  </si>
  <si>
    <t>TIJOLO</t>
  </si>
  <si>
    <t>HÍBRIDO</t>
  </si>
  <si>
    <t xml:space="preserve">FOFs </t>
  </si>
  <si>
    <t>DESENVOLVIMENTO</t>
  </si>
  <si>
    <t>HOTELARIAS</t>
  </si>
  <si>
    <t>Percentual Sugerido</t>
  </si>
  <si>
    <t>Valores</t>
  </si>
  <si>
    <t>Conservador</t>
  </si>
  <si>
    <t>%</t>
  </si>
  <si>
    <t>CHAVE COMPOSTA</t>
  </si>
  <si>
    <t>Moderado</t>
  </si>
  <si>
    <t>Moderado-TIJOLO</t>
  </si>
  <si>
    <t>Sugestão de Investimento (30%)</t>
  </si>
  <si>
    <t>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</si>
</sst>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b/>
      <sz val="14"/>
      <color rgb="FF51EDC8"/>
      <name val="Calibri"/>
      <family val="2"/>
      <scheme val="minor"/>
    </font>
    <font>
      <b/>
      <sz val="12"/>
      <color rgb="FF51EDC8"/>
      <name val="Calibri"/>
      <family val="2"/>
      <scheme val="minor"/>
    </font>
    <font>
      <sz val="12"/>
      <color rgb="FF51EDC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D2254"/>
        <bgColor indexed="64"/>
      </patternFill>
    </fill>
  </fills>
  <borders count="3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2"/>
      </right>
      <top style="medium">
        <color theme="1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1"/>
      </top>
      <bottom style="medium">
        <color theme="2"/>
      </bottom>
      <diagonal/>
    </border>
    <border>
      <left style="medium">
        <color theme="2"/>
      </left>
      <right style="medium">
        <color theme="1"/>
      </right>
      <top style="medium">
        <color theme="1"/>
      </top>
      <bottom style="medium">
        <color theme="2"/>
      </bottom>
      <diagonal/>
    </border>
    <border>
      <left style="medium">
        <color theme="1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1"/>
      </right>
      <top style="medium">
        <color theme="2"/>
      </top>
      <bottom style="medium">
        <color theme="2"/>
      </bottom>
      <diagonal/>
    </border>
    <border>
      <left style="medium">
        <color theme="1"/>
      </left>
      <right style="medium">
        <color theme="2"/>
      </right>
      <top style="medium">
        <color theme="2"/>
      </top>
      <bottom style="medium">
        <color theme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1"/>
      </bottom>
      <diagonal/>
    </border>
    <border>
      <left style="medium">
        <color theme="2"/>
      </left>
      <right style="medium">
        <color theme="1"/>
      </right>
      <top style="medium">
        <color theme="2"/>
      </top>
      <bottom style="medium">
        <color theme="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1"/>
      </left>
      <right style="medium">
        <color theme="0" tint="-0.1499679555650502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0" tint="-0.14996795556505021"/>
      </left>
      <right style="medium">
        <color theme="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1"/>
      </bottom>
      <diagonal/>
    </border>
    <border>
      <left style="medium">
        <color theme="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8" fontId="5" fillId="2" borderId="5" xfId="0" applyNumberFormat="1" applyFont="1" applyFill="1" applyBorder="1" applyAlignment="1">
      <alignment horizontal="center"/>
    </xf>
    <xf numFmtId="8" fontId="5" fillId="2" borderId="8" xfId="0" applyNumberFormat="1" applyFont="1" applyFill="1" applyBorder="1" applyAlignment="1">
      <alignment horizontal="center"/>
    </xf>
    <xf numFmtId="8" fontId="5" fillId="2" borderId="11" xfId="0" applyNumberFormat="1" applyFont="1" applyFill="1" applyBorder="1" applyAlignment="1">
      <alignment horizont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0" fontId="6" fillId="0" borderId="16" xfId="1" applyNumberFormat="1" applyFont="1" applyBorder="1" applyAlignment="1">
      <alignment horizontal="center" vertical="center"/>
    </xf>
    <xf numFmtId="8" fontId="6" fillId="2" borderId="16" xfId="0" applyNumberFormat="1" applyFont="1" applyFill="1" applyBorder="1" applyAlignment="1">
      <alignment horizontal="center" vertical="center"/>
    </xf>
    <xf numFmtId="8" fontId="6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5" fillId="2" borderId="10" xfId="0" applyFont="1" applyFill="1" applyBorder="1" applyAlignment="1">
      <alignment horizontal="left" indent="2"/>
    </xf>
    <xf numFmtId="164" fontId="5" fillId="0" borderId="23" xfId="0" applyNumberFormat="1" applyFont="1" applyBorder="1" applyAlignment="1">
      <alignment horizontal="center" vertical="center"/>
    </xf>
    <xf numFmtId="10" fontId="5" fillId="0" borderId="16" xfId="1" applyNumberFormat="1" applyFont="1" applyBorder="1" applyAlignment="1">
      <alignment horizontal="center" vertical="center"/>
    </xf>
    <xf numFmtId="8" fontId="5" fillId="2" borderId="6" xfId="0" applyNumberFormat="1" applyFont="1" applyFill="1" applyBorder="1" applyAlignment="1">
      <alignment horizontal="center"/>
    </xf>
    <xf numFmtId="8" fontId="5" fillId="2" borderId="9" xfId="0" applyNumberFormat="1" applyFont="1" applyFill="1" applyBorder="1" applyAlignment="1">
      <alignment horizontal="center"/>
    </xf>
    <xf numFmtId="8" fontId="5" fillId="2" borderId="12" xfId="0" applyNumberFormat="1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left" indent="2"/>
    </xf>
    <xf numFmtId="0" fontId="7" fillId="2" borderId="24" xfId="0" applyFont="1" applyFill="1" applyBorder="1" applyAlignment="1">
      <alignment horizontal="left" indent="2"/>
    </xf>
    <xf numFmtId="0" fontId="7" fillId="2" borderId="15" xfId="0" applyFont="1" applyFill="1" applyBorder="1" applyAlignment="1">
      <alignment horizontal="left" indent="2"/>
    </xf>
    <xf numFmtId="0" fontId="7" fillId="2" borderId="20" xfId="0" applyFont="1" applyFill="1" applyBorder="1" applyAlignment="1">
      <alignment horizontal="left" indent="2"/>
    </xf>
    <xf numFmtId="0" fontId="7" fillId="2" borderId="17" xfId="0" applyFont="1" applyFill="1" applyBorder="1" applyAlignment="1">
      <alignment horizontal="left" indent="2"/>
    </xf>
    <xf numFmtId="0" fontId="7" fillId="2" borderId="21" xfId="0" applyFont="1" applyFill="1" applyBorder="1" applyAlignment="1">
      <alignment horizontal="left" indent="2"/>
    </xf>
    <xf numFmtId="0" fontId="5" fillId="2" borderId="13" xfId="0" applyFont="1" applyFill="1" applyBorder="1" applyAlignment="1">
      <alignment horizontal="left" vertical="center" indent="2"/>
    </xf>
    <xf numFmtId="0" fontId="5" fillId="2" borderId="19" xfId="0" applyFont="1" applyFill="1" applyBorder="1" applyAlignment="1">
      <alignment horizontal="left" vertical="center" indent="2"/>
    </xf>
    <xf numFmtId="0" fontId="5" fillId="2" borderId="15" xfId="0" applyFont="1" applyFill="1" applyBorder="1" applyAlignment="1">
      <alignment horizontal="left" vertical="center" indent="2"/>
    </xf>
    <xf numFmtId="0" fontId="5" fillId="2" borderId="20" xfId="0" applyFont="1" applyFill="1" applyBorder="1" applyAlignment="1">
      <alignment horizontal="left" vertical="center" indent="2"/>
    </xf>
    <xf numFmtId="0" fontId="6" fillId="2" borderId="15" xfId="0" applyFont="1" applyFill="1" applyBorder="1" applyAlignment="1">
      <alignment horizontal="left" vertical="center" indent="2"/>
    </xf>
    <xf numFmtId="0" fontId="6" fillId="2" borderId="20" xfId="0" applyFont="1" applyFill="1" applyBorder="1" applyAlignment="1">
      <alignment horizontal="left" vertical="center" indent="2"/>
    </xf>
    <xf numFmtId="0" fontId="6" fillId="2" borderId="17" xfId="0" applyFont="1" applyFill="1" applyBorder="1" applyAlignment="1">
      <alignment horizontal="left" vertical="center" indent="2"/>
    </xf>
    <xf numFmtId="0" fontId="6" fillId="2" borderId="21" xfId="0" applyFont="1" applyFill="1" applyBorder="1" applyAlignment="1">
      <alignment horizontal="left" vertical="center" indent="2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5" fillId="0" borderId="26" xfId="0" applyFont="1" applyBorder="1" applyAlignment="1">
      <alignment horizontal="center"/>
    </xf>
    <xf numFmtId="9" fontId="0" fillId="0" borderId="26" xfId="1" applyFont="1" applyBorder="1" applyAlignment="1">
      <alignment horizontal="center"/>
    </xf>
    <xf numFmtId="9" fontId="0" fillId="0" borderId="25" xfId="1" applyFont="1" applyBorder="1" applyAlignment="1">
      <alignment horizontal="center"/>
    </xf>
    <xf numFmtId="0" fontId="8" fillId="5" borderId="0" xfId="0" applyFont="1" applyFill="1" applyAlignment="1">
      <alignment horizontal="center"/>
    </xf>
    <xf numFmtId="9" fontId="8" fillId="5" borderId="0" xfId="1" applyFont="1" applyFill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left"/>
    </xf>
    <xf numFmtId="0" fontId="11" fillId="6" borderId="28" xfId="0" applyFont="1" applyFill="1" applyBorder="1" applyAlignment="1">
      <alignment horizontal="center"/>
    </xf>
    <xf numFmtId="0" fontId="9" fillId="6" borderId="29" xfId="0" applyFont="1" applyFill="1" applyBorder="1"/>
    <xf numFmtId="0" fontId="6" fillId="3" borderId="30" xfId="0" applyFont="1" applyFill="1" applyBorder="1"/>
    <xf numFmtId="164" fontId="6" fillId="3" borderId="31" xfId="0" applyNumberFormat="1" applyFont="1" applyFill="1" applyBorder="1" applyAlignment="1">
      <alignment horizontal="center" vertical="center"/>
    </xf>
    <xf numFmtId="0" fontId="5" fillId="3" borderId="32" xfId="0" applyFont="1" applyFill="1" applyBorder="1"/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/>
    </xf>
    <xf numFmtId="9" fontId="5" fillId="3" borderId="0" xfId="0" applyNumberFormat="1" applyFont="1" applyFill="1" applyBorder="1" applyAlignment="1">
      <alignment horizontal="center"/>
    </xf>
    <xf numFmtId="164" fontId="5" fillId="3" borderId="34" xfId="0" applyNumberFormat="1" applyFont="1" applyFill="1" applyBorder="1" applyAlignment="1">
      <alignment horizontal="center"/>
    </xf>
    <xf numFmtId="0" fontId="12" fillId="6" borderId="30" xfId="0" applyFont="1" applyFill="1" applyBorder="1"/>
    <xf numFmtId="0" fontId="12" fillId="6" borderId="31" xfId="0" applyFont="1" applyFill="1" applyBorder="1"/>
    <xf numFmtId="164" fontId="11" fillId="6" borderId="32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D2254"/>
      <color rgb="FF51EDC8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 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6-4E01-855A-07A480B5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40</xdr:row>
      <xdr:rowOff>67310</xdr:rowOff>
    </xdr:from>
    <xdr:to>
      <xdr:col>4</xdr:col>
      <xdr:colOff>26670</xdr:colOff>
      <xdr:row>55</xdr:row>
      <xdr:rowOff>46990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7F6FF3-9337-4D34-9010-274A505BB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262890</xdr:colOff>
      <xdr:row>0</xdr:row>
      <xdr:rowOff>34290</xdr:rowOff>
    </xdr:from>
    <xdr:to>
      <xdr:col>4</xdr:col>
      <xdr:colOff>111760</xdr:colOff>
      <xdr:row>8</xdr:row>
      <xdr:rowOff>797534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968A6AC-8612-41AD-B208-2A7A57482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4" t="20240" r="97" b="17038"/>
        <a:stretch/>
      </xdr:blipFill>
      <xdr:spPr>
        <a:xfrm>
          <a:off x="250190" y="19050"/>
          <a:ext cx="5805170" cy="2244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5E32-F169-4970-8F8F-70825CBB0D38}">
  <dimension ref="A1:I59"/>
  <sheetViews>
    <sheetView showGridLines="0" showRowColHeaders="0" tabSelected="1" workbookViewId="0">
      <selection activeCell="A60" sqref="A60:XFD1048576"/>
    </sheetView>
  </sheetViews>
  <sheetFormatPr defaultColWidth="0" defaultRowHeight="14.4" zeroHeight="1" x14ac:dyDescent="0.3"/>
  <cols>
    <col min="1" max="1" width="4.77734375" customWidth="1"/>
    <col min="2" max="2" width="46.88671875" customWidth="1"/>
    <col min="3" max="3" width="19.77734375" bestFit="1" customWidth="1"/>
    <col min="4" max="4" width="15.21875" customWidth="1"/>
    <col min="5" max="5" width="5.21875" customWidth="1"/>
    <col min="6" max="6" width="3.5546875" customWidth="1"/>
    <col min="7" max="7" width="3.109375" customWidth="1"/>
    <col min="8" max="8" width="2.77734375" hidden="1" customWidth="1"/>
    <col min="9" max="9" width="2" hidden="1" customWidth="1"/>
    <col min="10" max="11" width="8.88671875" hidden="1" customWidth="1"/>
    <col min="12" max="16384" width="8.8867187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ht="70.8" customHeight="1" thickBot="1" x14ac:dyDescent="0.35"/>
    <row r="10" spans="2:4" ht="26.4" customHeight="1" thickBot="1" x14ac:dyDescent="0.35">
      <c r="B10" s="51" t="s">
        <v>14</v>
      </c>
      <c r="C10" s="52"/>
      <c r="D10" s="53"/>
    </row>
    <row r="11" spans="2:4" ht="16.2" thickBot="1" x14ac:dyDescent="0.35">
      <c r="B11" s="19" t="s">
        <v>12</v>
      </c>
      <c r="C11" s="20"/>
      <c r="D11" s="13">
        <v>2000</v>
      </c>
    </row>
    <row r="12" spans="2:4" ht="16.2" thickBot="1" x14ac:dyDescent="0.35">
      <c r="B12" s="21" t="s">
        <v>13</v>
      </c>
      <c r="C12" s="22"/>
      <c r="D12" s="14">
        <v>6.0000000000000001E-3</v>
      </c>
    </row>
    <row r="13" spans="2:4" ht="16.2" thickBot="1" x14ac:dyDescent="0.35">
      <c r="B13" s="23" t="s">
        <v>32</v>
      </c>
      <c r="C13" s="24"/>
      <c r="D13" s="18">
        <f>D11*30%</f>
        <v>600</v>
      </c>
    </row>
    <row r="14" spans="2:4" ht="15" thickBot="1" x14ac:dyDescent="0.35"/>
    <row r="15" spans="2:4" ht="26.4" thickBot="1" x14ac:dyDescent="0.35">
      <c r="B15" s="51" t="s">
        <v>0</v>
      </c>
      <c r="C15" s="52"/>
      <c r="D15" s="54"/>
    </row>
    <row r="16" spans="2:4" ht="16.2" thickBot="1" x14ac:dyDescent="0.35">
      <c r="B16" s="25" t="s">
        <v>4</v>
      </c>
      <c r="C16" s="26"/>
      <c r="D16" s="5">
        <v>200</v>
      </c>
    </row>
    <row r="17" spans="1:4" ht="16.2" thickBot="1" x14ac:dyDescent="0.35">
      <c r="B17" s="27" t="s">
        <v>5</v>
      </c>
      <c r="C17" s="28"/>
      <c r="D17" s="6">
        <v>10</v>
      </c>
    </row>
    <row r="18" spans="1:4" ht="16.2" thickBot="1" x14ac:dyDescent="0.35">
      <c r="B18" s="27" t="s">
        <v>3</v>
      </c>
      <c r="C18" s="28"/>
      <c r="D18" s="7">
        <v>1.0789999999999999E-2</v>
      </c>
    </row>
    <row r="19" spans="1:4" ht="16.2" thickBot="1" x14ac:dyDescent="0.35">
      <c r="B19" s="29" t="s">
        <v>1</v>
      </c>
      <c r="C19" s="30"/>
      <c r="D19" s="8">
        <f>FV(taxa_mensal,qtd_anos*12,aporte*-1)</f>
        <v>48656.842506034438</v>
      </c>
    </row>
    <row r="20" spans="1:4" ht="16.2" thickBot="1" x14ac:dyDescent="0.35">
      <c r="B20" s="31" t="s">
        <v>2</v>
      </c>
      <c r="C20" s="32"/>
      <c r="D20" s="9">
        <f>patrimonio*rendimento_carteira</f>
        <v>291.94105503620665</v>
      </c>
    </row>
    <row r="21" spans="1:4" ht="15" thickBot="1" x14ac:dyDescent="0.35"/>
    <row r="22" spans="1:4" ht="18.600000000000001" thickBot="1" x14ac:dyDescent="0.35">
      <c r="B22" s="51" t="s">
        <v>33</v>
      </c>
      <c r="C22" s="52"/>
      <c r="D22" s="55" t="s">
        <v>11</v>
      </c>
    </row>
    <row r="23" spans="1:4" ht="16.2" thickBot="1" x14ac:dyDescent="0.35">
      <c r="A23" s="1">
        <v>2</v>
      </c>
      <c r="B23" s="10" t="s">
        <v>6</v>
      </c>
      <c r="C23" s="2">
        <f>FV($D$18,$A23*12,$D$16*-1)</f>
        <v>5445.5254595290435</v>
      </c>
      <c r="D23" s="15">
        <f>C23*rendimento_carteira</f>
        <v>32.673152757174265</v>
      </c>
    </row>
    <row r="24" spans="1:4" ht="16.2" thickBot="1" x14ac:dyDescent="0.35">
      <c r="A24" s="1">
        <v>5</v>
      </c>
      <c r="B24" s="11" t="s">
        <v>7</v>
      </c>
      <c r="C24" s="3">
        <f>FV($D$18,$A24*12,$D$16*-1)</f>
        <v>16755.382799697527</v>
      </c>
      <c r="D24" s="16">
        <f>C24*rendimento_carteira</f>
        <v>100.53229679818516</v>
      </c>
    </row>
    <row r="25" spans="1:4" ht="16.2" thickBot="1" x14ac:dyDescent="0.35">
      <c r="A25" s="1">
        <v>10</v>
      </c>
      <c r="B25" s="11" t="s">
        <v>8</v>
      </c>
      <c r="C25" s="3">
        <f>FV($D$18,$A25*12,$D$16*-1)</f>
        <v>48656.842506034438</v>
      </c>
      <c r="D25" s="16">
        <f>C25*rendimento_carteira</f>
        <v>291.94105503620665</v>
      </c>
    </row>
    <row r="26" spans="1:4" ht="16.2" thickBot="1" x14ac:dyDescent="0.35">
      <c r="A26" s="1">
        <v>20</v>
      </c>
      <c r="B26" s="11" t="s">
        <v>9</v>
      </c>
      <c r="C26" s="3">
        <f>FV($D$18,$A26*12,$D$16*-1)</f>
        <v>225039.68001941612</v>
      </c>
      <c r="D26" s="16">
        <f>C26*rendimento_carteira</f>
        <v>1350.2380801164968</v>
      </c>
    </row>
    <row r="27" spans="1:4" ht="16.2" thickBot="1" x14ac:dyDescent="0.35">
      <c r="A27" s="1">
        <v>30</v>
      </c>
      <c r="B27" s="12" t="s">
        <v>10</v>
      </c>
      <c r="C27" s="4">
        <f>FV($D$18,$A27*12,$D$16*-1)</f>
        <v>864433.93100094295</v>
      </c>
      <c r="D27" s="17">
        <f>C27*rendimento_carteira</f>
        <v>5186.6035860056581</v>
      </c>
    </row>
    <row r="28" spans="1:4" x14ac:dyDescent="0.3"/>
    <row r="29" spans="1:4" ht="15" thickBot="1" x14ac:dyDescent="0.35"/>
    <row r="30" spans="1:4" ht="15.6" x14ac:dyDescent="0.3">
      <c r="B30" s="56" t="s">
        <v>17</v>
      </c>
      <c r="C30" s="57" t="s">
        <v>30</v>
      </c>
      <c r="D30" s="58"/>
    </row>
    <row r="31" spans="1:4" ht="16.2" thickBot="1" x14ac:dyDescent="0.35">
      <c r="B31" s="59" t="s">
        <v>16</v>
      </c>
      <c r="C31" s="60">
        <f>aporte</f>
        <v>200</v>
      </c>
      <c r="D31" s="61"/>
    </row>
    <row r="32" spans="1:4" ht="16.2" thickBot="1" x14ac:dyDescent="0.35">
      <c r="B32" s="34"/>
      <c r="C32" s="34"/>
      <c r="D32" s="34"/>
    </row>
    <row r="33" spans="2:4" ht="15.6" x14ac:dyDescent="0.3">
      <c r="B33" s="62" t="s">
        <v>18</v>
      </c>
      <c r="C33" s="63" t="s">
        <v>25</v>
      </c>
      <c r="D33" s="64" t="s">
        <v>26</v>
      </c>
    </row>
    <row r="34" spans="2:4" ht="15.6" x14ac:dyDescent="0.3">
      <c r="B34" s="65" t="s">
        <v>19</v>
      </c>
      <c r="C34" s="66">
        <f>VLOOKUP($C$30&amp;"-"&amp;B34,Planilha2!$A:$D,4,FALSE)</f>
        <v>0.32</v>
      </c>
      <c r="D34" s="67">
        <f>C34*$C$31</f>
        <v>64</v>
      </c>
    </row>
    <row r="35" spans="2:4" ht="15.6" x14ac:dyDescent="0.3">
      <c r="B35" s="65" t="s">
        <v>20</v>
      </c>
      <c r="C35" s="66">
        <f>VLOOKUP($C$30&amp;"-"&amp;B35,Planilha2!$A:$D,4,FALSE)</f>
        <v>0.35</v>
      </c>
      <c r="D35" s="67">
        <f t="shared" ref="D35:D39" si="0">C35*$C$31</f>
        <v>70</v>
      </c>
    </row>
    <row r="36" spans="2:4" ht="15.6" x14ac:dyDescent="0.3">
      <c r="B36" s="65" t="s">
        <v>21</v>
      </c>
      <c r="C36" s="66">
        <f>VLOOKUP($C$30&amp;"-"&amp;B36,Planilha2!$A:$D,4,FALSE)</f>
        <v>0.08</v>
      </c>
      <c r="D36" s="67">
        <f t="shared" si="0"/>
        <v>16</v>
      </c>
    </row>
    <row r="37" spans="2:4" ht="15.6" x14ac:dyDescent="0.3">
      <c r="B37" s="65" t="s">
        <v>22</v>
      </c>
      <c r="C37" s="66">
        <f>VLOOKUP($C$30&amp;"-"&amp;B37,Planilha2!$A:$D,4,FALSE)</f>
        <v>0.05</v>
      </c>
      <c r="D37" s="67">
        <f t="shared" si="0"/>
        <v>10</v>
      </c>
    </row>
    <row r="38" spans="2:4" ht="15.6" x14ac:dyDescent="0.3">
      <c r="B38" s="65" t="s">
        <v>23</v>
      </c>
      <c r="C38" s="66">
        <f>VLOOKUP($C$30&amp;"-"&amp;B38,Planilha2!$A:$D,4,FALSE)</f>
        <v>0.1</v>
      </c>
      <c r="D38" s="67">
        <f t="shared" si="0"/>
        <v>20</v>
      </c>
    </row>
    <row r="39" spans="2:4" ht="15.6" x14ac:dyDescent="0.3">
      <c r="B39" s="65" t="s">
        <v>24</v>
      </c>
      <c r="C39" s="66">
        <f>VLOOKUP($C$30&amp;"-"&amp;B39,Planilha2!$A:$D,4,FALSE)</f>
        <v>0.1</v>
      </c>
      <c r="D39" s="67">
        <f t="shared" si="0"/>
        <v>20</v>
      </c>
    </row>
    <row r="40" spans="2:4" ht="16.2" thickBot="1" x14ac:dyDescent="0.35">
      <c r="B40" s="68"/>
      <c r="C40" s="69"/>
      <c r="D40" s="70">
        <f>SUM(D34:D39)</f>
        <v>200</v>
      </c>
    </row>
    <row r="41" spans="2:4" ht="15.6" x14ac:dyDescent="0.3">
      <c r="B41" s="34"/>
      <c r="C41" s="34"/>
      <c r="D41" s="34"/>
    </row>
    <row r="42" spans="2:4" x14ac:dyDescent="0.3"/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</sheetData>
  <mergeCells count="11">
    <mergeCell ref="B22:C22"/>
    <mergeCell ref="B16:C16"/>
    <mergeCell ref="B17:C17"/>
    <mergeCell ref="B18:C18"/>
    <mergeCell ref="B19:C19"/>
    <mergeCell ref="B20:C20"/>
    <mergeCell ref="B10:C10"/>
    <mergeCell ref="B11:C11"/>
    <mergeCell ref="B12:C12"/>
    <mergeCell ref="B13:C13"/>
    <mergeCell ref="B15:C15"/>
  </mergeCells>
  <dataValidations count="1">
    <dataValidation type="list" allowBlank="1" showInputMessage="1" showErrorMessage="1" sqref="C30" xr:uid="{0A4C3B0B-9175-4B5F-8DAE-A73FFED3B2F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DBCB-71F1-416B-8B26-ABDF916D131E}">
  <dimension ref="A2:H20"/>
  <sheetViews>
    <sheetView workbookViewId="0">
      <selection activeCell="E12" sqref="E12"/>
    </sheetView>
  </sheetViews>
  <sheetFormatPr defaultRowHeight="14.4" x14ac:dyDescent="0.3"/>
  <cols>
    <col min="1" max="1" width="29.88671875" bestFit="1" customWidth="1"/>
    <col min="2" max="2" width="17.5546875" customWidth="1"/>
    <col min="3" max="3" width="19.88671875" bestFit="1" customWidth="1"/>
    <col min="4" max="4" width="13.88671875" style="33" customWidth="1"/>
    <col min="7" max="7" width="16.44140625" bestFit="1" customWidth="1"/>
    <col min="8" max="8" width="15.77734375" customWidth="1"/>
  </cols>
  <sheetData>
    <row r="2" spans="1:8" ht="15.6" x14ac:dyDescent="0.3">
      <c r="A2" t="s">
        <v>29</v>
      </c>
      <c r="B2" s="33" t="s">
        <v>17</v>
      </c>
      <c r="C2" s="36" t="s">
        <v>18</v>
      </c>
      <c r="D2" s="33" t="s">
        <v>28</v>
      </c>
    </row>
    <row r="3" spans="1:8" ht="15.6" x14ac:dyDescent="0.3">
      <c r="A3" t="str">
        <f>B3&amp;"-"&amp;C3</f>
        <v>Conservador-PAPEL</v>
      </c>
      <c r="B3" s="33" t="s">
        <v>27</v>
      </c>
      <c r="C3" s="35" t="s">
        <v>19</v>
      </c>
      <c r="D3" s="37">
        <v>0.3</v>
      </c>
    </row>
    <row r="4" spans="1:8" ht="15.6" x14ac:dyDescent="0.3">
      <c r="A4" t="str">
        <f t="shared" ref="A4:A20" si="0">B4&amp;"-"&amp;C4</f>
        <v>Conservador-TIJOLO</v>
      </c>
      <c r="B4" s="33" t="s">
        <v>27</v>
      </c>
      <c r="C4" s="35" t="s">
        <v>20</v>
      </c>
      <c r="D4" s="37">
        <v>0.5</v>
      </c>
    </row>
    <row r="5" spans="1:8" ht="15.6" x14ac:dyDescent="0.3">
      <c r="A5" t="str">
        <f t="shared" si="0"/>
        <v>Conservador-HÍBRIDO</v>
      </c>
      <c r="B5" s="33" t="s">
        <v>27</v>
      </c>
      <c r="C5" s="35" t="s">
        <v>21</v>
      </c>
      <c r="D5" s="37">
        <v>0.1</v>
      </c>
    </row>
    <row r="6" spans="1:8" ht="15.6" x14ac:dyDescent="0.3">
      <c r="A6" t="str">
        <f t="shared" si="0"/>
        <v xml:space="preserve">Conservador-FOFs </v>
      </c>
      <c r="B6" s="33" t="s">
        <v>27</v>
      </c>
      <c r="C6" s="35" t="s">
        <v>22</v>
      </c>
      <c r="D6" s="37">
        <v>0.1</v>
      </c>
    </row>
    <row r="7" spans="1:8" ht="15.6" x14ac:dyDescent="0.3">
      <c r="A7" t="str">
        <f t="shared" si="0"/>
        <v>Conservador-DESENVOLVIMENTO</v>
      </c>
      <c r="B7" s="33" t="s">
        <v>27</v>
      </c>
      <c r="C7" s="35" t="s">
        <v>23</v>
      </c>
      <c r="D7" s="37">
        <v>0</v>
      </c>
    </row>
    <row r="8" spans="1:8" ht="15.6" x14ac:dyDescent="0.3">
      <c r="A8" t="str">
        <f t="shared" si="0"/>
        <v>Conservador-HOTELARIAS</v>
      </c>
      <c r="B8" s="33" t="s">
        <v>27</v>
      </c>
      <c r="C8" s="35" t="s">
        <v>24</v>
      </c>
      <c r="D8" s="37">
        <v>0</v>
      </c>
    </row>
    <row r="9" spans="1:8" s="38" customFormat="1" ht="15.6" x14ac:dyDescent="0.3">
      <c r="A9" s="38" t="str">
        <f t="shared" si="0"/>
        <v>Moderado-PAPEL</v>
      </c>
      <c r="B9" s="39" t="s">
        <v>30</v>
      </c>
      <c r="C9" s="40" t="s">
        <v>19</v>
      </c>
      <c r="D9" s="48">
        <v>0.32</v>
      </c>
    </row>
    <row r="10" spans="1:8" ht="15.6" x14ac:dyDescent="0.3">
      <c r="A10" t="str">
        <f t="shared" si="0"/>
        <v>Moderado-TIJOLO</v>
      </c>
      <c r="B10" s="33" t="s">
        <v>30</v>
      </c>
      <c r="C10" s="35" t="s">
        <v>20</v>
      </c>
      <c r="D10" s="37">
        <v>0.35</v>
      </c>
      <c r="G10" s="49" t="s">
        <v>31</v>
      </c>
      <c r="H10" s="50">
        <f>VLOOKUP(G10,$A:$D,4,FALSE)</f>
        <v>0.35</v>
      </c>
    </row>
    <row r="11" spans="1:8" ht="15.6" x14ac:dyDescent="0.3">
      <c r="A11" t="str">
        <f t="shared" si="0"/>
        <v>Moderado-HÍBRIDO</v>
      </c>
      <c r="B11" s="33" t="s">
        <v>30</v>
      </c>
      <c r="C11" s="35" t="s">
        <v>21</v>
      </c>
      <c r="D11" s="37">
        <v>0.08</v>
      </c>
    </row>
    <row r="12" spans="1:8" ht="15.6" x14ac:dyDescent="0.3">
      <c r="A12" t="str">
        <f t="shared" si="0"/>
        <v xml:space="preserve">Moderado-FOFs </v>
      </c>
      <c r="B12" s="33" t="s">
        <v>30</v>
      </c>
      <c r="C12" s="35" t="s">
        <v>22</v>
      </c>
      <c r="D12" s="37">
        <v>0.05</v>
      </c>
    </row>
    <row r="13" spans="1:8" ht="15.6" x14ac:dyDescent="0.3">
      <c r="A13" t="str">
        <f t="shared" si="0"/>
        <v>Moderado-DESENVOLVIMENTO</v>
      </c>
      <c r="B13" s="33" t="s">
        <v>30</v>
      </c>
      <c r="C13" s="35" t="s">
        <v>23</v>
      </c>
      <c r="D13" s="37">
        <v>0.1</v>
      </c>
    </row>
    <row r="14" spans="1:8" s="44" customFormat="1" ht="15.6" x14ac:dyDescent="0.3">
      <c r="A14" s="44" t="str">
        <f t="shared" si="0"/>
        <v>Moderado-HOTELARIAS</v>
      </c>
      <c r="B14" s="45" t="s">
        <v>30</v>
      </c>
      <c r="C14" s="46" t="s">
        <v>24</v>
      </c>
      <c r="D14" s="47">
        <v>0.1</v>
      </c>
    </row>
    <row r="15" spans="1:8" s="43" customFormat="1" ht="15.6" x14ac:dyDescent="0.3">
      <c r="A15" t="str">
        <f t="shared" si="0"/>
        <v>Agressivo-PAPEL</v>
      </c>
      <c r="B15" s="41" t="s">
        <v>15</v>
      </c>
      <c r="C15" s="42" t="s">
        <v>19</v>
      </c>
      <c r="D15" s="37">
        <v>0.5</v>
      </c>
    </row>
    <row r="16" spans="1:8" ht="15.6" x14ac:dyDescent="0.3">
      <c r="A16" t="str">
        <f t="shared" si="0"/>
        <v>Agressivo-TIJOLO</v>
      </c>
      <c r="B16" s="33" t="s">
        <v>15</v>
      </c>
      <c r="C16" s="35" t="s">
        <v>20</v>
      </c>
      <c r="D16" s="37">
        <v>0.1</v>
      </c>
    </row>
    <row r="17" spans="1:4" ht="15.6" x14ac:dyDescent="0.3">
      <c r="A17" t="str">
        <f t="shared" si="0"/>
        <v>Agressivo-HÍBRIDO</v>
      </c>
      <c r="B17" s="33" t="s">
        <v>15</v>
      </c>
      <c r="C17" s="35" t="s">
        <v>21</v>
      </c>
      <c r="D17" s="37">
        <v>0.05</v>
      </c>
    </row>
    <row r="18" spans="1:4" ht="15.6" x14ac:dyDescent="0.3">
      <c r="A18" t="str">
        <f t="shared" si="0"/>
        <v xml:space="preserve">Agressivo-FOFs </v>
      </c>
      <c r="B18" s="33" t="s">
        <v>15</v>
      </c>
      <c r="C18" s="35" t="s">
        <v>22</v>
      </c>
      <c r="D18" s="37">
        <v>0.05</v>
      </c>
    </row>
    <row r="19" spans="1:4" ht="15.6" x14ac:dyDescent="0.3">
      <c r="A19" t="str">
        <f t="shared" si="0"/>
        <v>Agressivo-DESENVOLVIMENTO</v>
      </c>
      <c r="B19" s="33" t="s">
        <v>15</v>
      </c>
      <c r="C19" s="35" t="s">
        <v>23</v>
      </c>
      <c r="D19" s="37">
        <v>0.2</v>
      </c>
    </row>
    <row r="20" spans="1:4" ht="15.6" x14ac:dyDescent="0.3">
      <c r="A20" t="str">
        <f t="shared" si="0"/>
        <v>Agressivo-HOTELARIAS</v>
      </c>
      <c r="B20" s="33" t="s">
        <v>15</v>
      </c>
      <c r="C20" s="35" t="s">
        <v>24</v>
      </c>
      <c r="D20" s="3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Toshiro Yamaguti</dc:creator>
  <cp:lastModifiedBy>Toshiro Yamaguti</cp:lastModifiedBy>
  <dcterms:created xsi:type="dcterms:W3CDTF">2026-07-11T19:45:11Z</dcterms:created>
  <dcterms:modified xsi:type="dcterms:W3CDTF">2026-07-12T15:13:41Z</dcterms:modified>
</cp:coreProperties>
</file>